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eb_project\banndon\"/>
    </mc:Choice>
  </mc:AlternateContent>
  <xr:revisionPtr revIDLastSave="0" documentId="13_ncr:1_{34A199C2-FB18-42E5-9600-59719C296E6B}" xr6:coauthVersionLast="47" xr6:coauthVersionMax="47" xr10:uidLastSave="{00000000-0000-0000-0000-000000000000}"/>
  <bookViews>
    <workbookView xWindow="28680" yWindow="-15" windowWidth="29040" windowHeight="15720" xr2:uid="{C87BA049-EC28-4E2B-B2CF-9B6325E5C124}"/>
  </bookViews>
  <sheets>
    <sheet name="06036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6" i="1" s="1"/>
  <c r="H33" i="1"/>
  <c r="H35" i="1" s="1"/>
  <c r="H36" i="1" s="1"/>
  <c r="K32" i="1"/>
  <c r="K31" i="1"/>
  <c r="K30" i="1"/>
  <c r="I29" i="1"/>
  <c r="K29" i="1" s="1"/>
  <c r="I28" i="1"/>
  <c r="K28" i="1" s="1"/>
  <c r="I26" i="1"/>
  <c r="K26" i="1" s="1"/>
  <c r="I25" i="1"/>
  <c r="I24" i="1"/>
  <c r="K24" i="1" s="1"/>
  <c r="K22" i="1"/>
  <c r="I19" i="1"/>
  <c r="K19" i="1" s="1"/>
  <c r="I18" i="1"/>
  <c r="K18" i="1" s="1"/>
  <c r="K17" i="1"/>
  <c r="I16" i="1"/>
  <c r="K15" i="1"/>
  <c r="K14" i="1"/>
  <c r="I13" i="1"/>
  <c r="K13" i="1" s="1"/>
  <c r="K11" i="1"/>
  <c r="K10" i="1"/>
  <c r="K9" i="1"/>
  <c r="K8" i="1"/>
  <c r="K33" i="1" l="1"/>
  <c r="I35" i="1"/>
  <c r="I36" i="1" s="1"/>
  <c r="K16" i="1"/>
  <c r="K25" i="1"/>
  <c r="K35" i="1" s="1"/>
  <c r="K36" i="1" s="1"/>
</calcChain>
</file>

<file path=xl/sharedStrings.xml><?xml version="1.0" encoding="utf-8"?>
<sst xmlns="http://schemas.openxmlformats.org/spreadsheetml/2006/main" count="71" uniqueCount="68">
  <si>
    <t>รายงานสรุปประเภทเงินคงเหลือ</t>
  </si>
  <si>
    <t>โรงเรียนวัดบ้านดอน สพป.รย.1</t>
  </si>
  <si>
    <t>ณ วันที่ 6 มีนาคม  2569</t>
  </si>
  <si>
    <t>ประเภทเงินคงเหลือ</t>
  </si>
  <si>
    <t>เงินสด</t>
  </si>
  <si>
    <t>จำนวนเงิน</t>
  </si>
  <si>
    <t>รวม</t>
  </si>
  <si>
    <t>หมายเหตุ</t>
  </si>
  <si>
    <t>ฝากธนาคาร</t>
  </si>
  <si>
    <t>ส่วนราชการผู้เบิก</t>
  </si>
  <si>
    <t>เงินงบประมาณ</t>
  </si>
  <si>
    <t>เงินรายได้แผ่นดิน</t>
  </si>
  <si>
    <t xml:space="preserve"> </t>
  </si>
  <si>
    <t>1. ดอกเบี้ยเงินฝากเงินอุดหนุนทั่วไป</t>
  </si>
  <si>
    <t>2. ดอกเบี้ยบัญชีเงินฝากเงินโครงการอาหารกลางวัน</t>
  </si>
  <si>
    <t>3  ดอกเบี้ยเงินโครงการจ้างครูฯ</t>
  </si>
  <si>
    <t>4. ดอกเบี้ยเงิน กสศ.เพื่อโรงเรียนวัดบ้านดอน</t>
  </si>
  <si>
    <t>เงินนอกงบประมาณ</t>
  </si>
  <si>
    <t>1. เงินอุดหนุนค่าใช้จ่ายในการจัดการศึกษาขั้นพื้นฐาน</t>
  </si>
  <si>
    <t>(-7,101.50)</t>
  </si>
  <si>
    <t>2. เงินอุดหนุนปัจจัยพื้นฐานสำหรับนักเรียนยากจนฯ</t>
  </si>
  <si>
    <t>3. เงินเรียนฟรี 15 ปี</t>
  </si>
  <si>
    <t>3.1 ค่าอุปกรณ์การเรียน</t>
  </si>
  <si>
    <t>3.2 ค่าเครื่องแบบนักเรียน</t>
  </si>
  <si>
    <t>3.3 ค่ากิจกรรมพัฒนาคุณภาพผู้เรียน</t>
  </si>
  <si>
    <t>3.4 ค่าหนังสือเรียน</t>
  </si>
  <si>
    <t>4. เงินธุรการโรงเรียน</t>
  </si>
  <si>
    <t xml:space="preserve">   5. เงินสนับสนุนค่าใช้จ่ายด้านการศึกษาเพื่อลดภาระฯ</t>
  </si>
  <si>
    <t>6. เงิน กสศ.เพื่อโรงเรียนวัดบ้านดอน</t>
  </si>
  <si>
    <t>7. เงินงบประมาณที่ได้รับการสนับสนุนจากเทศบาลฯ</t>
  </si>
  <si>
    <t>7.1 เงินโครงการอาหารกลางวัน</t>
  </si>
  <si>
    <t>(-46,904)</t>
  </si>
  <si>
    <t>7.2 เงินโครงการจ้างครูฯ</t>
  </si>
  <si>
    <t>8. เงินโครงการอาหารกลางวัน(ธ.ออมสิน)</t>
  </si>
  <si>
    <t>9. เงินรายได้สถานศึกษา</t>
  </si>
  <si>
    <t>เงินรายได้สถานศึกษา(ระบุวัตถุประสงค์)</t>
  </si>
  <si>
    <t>เงินรายได้สถานศึกษา(ไม่ระบุวัตถุประสงค์)</t>
  </si>
  <si>
    <t>10.</t>
  </si>
  <si>
    <t>เงินประกันสัญญา</t>
  </si>
  <si>
    <t>เงินประกันสัญญาจ้างซ่อมแซมอาคารเรียนฯ</t>
  </si>
  <si>
    <t>เงินประกันสัญญาโครงการปรับปรุงลานฯ</t>
  </si>
  <si>
    <t>11.</t>
  </si>
  <si>
    <t>เงินหักภาษี ณ ที่จ่าย</t>
  </si>
  <si>
    <t>(+385.44)</t>
  </si>
  <si>
    <t>12.</t>
  </si>
  <si>
    <t>สัญญายืมเงิน</t>
  </si>
  <si>
    <t>รวมเงินนอกงบประมาณคงเหลือ</t>
  </si>
  <si>
    <t>รวมทั้งสิ้น</t>
  </si>
  <si>
    <t>ลงชื่อ.....................................................................</t>
  </si>
  <si>
    <t>ผู้รายงาน</t>
  </si>
  <si>
    <t>( นางมณฑิรา  สายยศ)</t>
  </si>
  <si>
    <t>เจ้าหน้าที่การเงิน</t>
  </si>
  <si>
    <t>คณะกรรมการเก็บรักษาเงินได้ตรวจนับเงินสดคงเหลือประจำวันถูกต้องตามรายการข้างต้นแล้ว ได้นำเงินสดเก็บรักษาไว้</t>
  </si>
  <si>
    <t>เป็นที่เรียบร้อยแล้ว</t>
  </si>
  <si>
    <t>ลงชื่อ..............................................</t>
  </si>
  <si>
    <t xml:space="preserve"> ลงชื่อ.................................................</t>
  </si>
  <si>
    <t>ลงชื่อ.................................................</t>
  </si>
  <si>
    <t>นางอารีย์  พัชรนฤมล</t>
  </si>
  <si>
    <t>นางธัญสินี  จันทร์บุตร</t>
  </si>
  <si>
    <t>นางสาวรัตนา  บำรุงจันทร์</t>
  </si>
  <si>
    <t>กรรมการ</t>
  </si>
  <si>
    <t xml:space="preserve">    ลงชื่อ......................................................................</t>
  </si>
  <si>
    <t>ลงชื่อ.........................................................................</t>
  </si>
  <si>
    <t>(นางภควรรณ  มีเจริญ)</t>
  </si>
  <si>
    <t>(นางสาววิภาพรรณ  อุบล)</t>
  </si>
  <si>
    <t>รองผู้อำนวยการโรงเรียนวัดบ้านดอน</t>
  </si>
  <si>
    <t>ผู้อำนวยการโรงเรียนวัดบ้านดอน</t>
  </si>
  <si>
    <r>
      <t>หมายเหตุ</t>
    </r>
    <r>
      <rPr>
        <sz val="9"/>
        <rFont val="TH Sarabun New"/>
        <family val="2"/>
      </rPr>
      <t xml:space="preserve">  วันที่ไม่มีการเคลื่อนไหวของเงิน ไม่ต้องทำรายงานเงินคงเหลือประจำวัน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</si>
</sst>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6" formatCode="0.0"/>
  </numFmts>
  <fonts count="9">
    <font>
      <sz val="11"/>
      <color theme="1"/>
      <name val="Aptos Narrow"/>
      <family val="2"/>
      <charset val="222"/>
      <scheme val="minor"/>
    </font>
    <font>
      <sz val="10"/>
      <name val="Arial"/>
      <family val="2"/>
    </font>
    <font>
      <sz val="9"/>
      <name val="TH Sarabun New"/>
      <family val="2"/>
    </font>
    <font>
      <sz val="11"/>
      <color theme="1"/>
      <name val="Aptos Narrow"/>
      <family val="2"/>
      <charset val="222"/>
      <scheme val="minor"/>
    </font>
    <font>
      <sz val="9"/>
      <color theme="1"/>
      <name val="TH Sarabun New"/>
      <family val="2"/>
    </font>
    <font>
      <b/>
      <sz val="9"/>
      <name val="TH Sarabun New"/>
      <family val="2"/>
    </font>
    <font>
      <sz val="9"/>
      <color rgb="FFFF0000"/>
      <name val="TH Sarabun New"/>
      <family val="2"/>
    </font>
    <font>
      <b/>
      <u/>
      <sz val="9"/>
      <name val="TH Sarabun New"/>
      <family val="2"/>
    </font>
    <font>
      <b/>
      <sz val="11"/>
      <name val="TH SarabunPSK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59F3FB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8">
    <xf numFmtId="0" fontId="0" fillId="0" borderId="0" xfId="0"/>
    <xf numFmtId="0" fontId="2" fillId="0" borderId="0" xfId="2" applyFont="1"/>
    <xf numFmtId="0" fontId="4" fillId="0" borderId="0" xfId="0" applyFont="1"/>
    <xf numFmtId="0" fontId="2" fillId="3" borderId="3" xfId="2" applyFont="1" applyFill="1" applyBorder="1" applyAlignment="1">
      <alignment horizontal="center" vertical="center"/>
    </xf>
    <xf numFmtId="0" fontId="2" fillId="3" borderId="4" xfId="2" applyFont="1" applyFill="1" applyBorder="1" applyAlignment="1">
      <alignment horizontal="center" vertical="center"/>
    </xf>
    <xf numFmtId="0" fontId="2" fillId="3" borderId="5" xfId="2" applyFont="1" applyFill="1" applyBorder="1" applyAlignment="1">
      <alignment horizontal="center" vertical="center"/>
    </xf>
    <xf numFmtId="0" fontId="2" fillId="3" borderId="6" xfId="2" applyFont="1" applyFill="1" applyBorder="1" applyAlignment="1">
      <alignment horizontal="center" vertical="center"/>
    </xf>
    <xf numFmtId="0" fontId="2" fillId="3" borderId="6" xfId="2" applyFont="1" applyFill="1" applyBorder="1" applyAlignment="1">
      <alignment horizontal="center" vertical="center"/>
    </xf>
    <xf numFmtId="4" fontId="2" fillId="3" borderId="6" xfId="1" applyNumberFormat="1" applyFont="1" applyFill="1" applyBorder="1" applyAlignment="1">
      <alignment horizontal="center" vertical="center"/>
    </xf>
    <xf numFmtId="0" fontId="2" fillId="3" borderId="7" xfId="2" applyFont="1" applyFill="1" applyBorder="1" applyAlignment="1">
      <alignment horizontal="center" vertical="center"/>
    </xf>
    <xf numFmtId="0" fontId="2" fillId="3" borderId="8" xfId="2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0" fontId="2" fillId="3" borderId="10" xfId="2" applyFont="1" applyFill="1" applyBorder="1" applyAlignment="1">
      <alignment horizontal="center" vertical="center"/>
    </xf>
    <xf numFmtId="4" fontId="2" fillId="3" borderId="10" xfId="1" applyNumberFormat="1" applyFont="1" applyFill="1" applyBorder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5" fillId="3" borderId="11" xfId="2" applyFont="1" applyFill="1" applyBorder="1" applyAlignment="1">
      <alignment horizontal="left" vertical="center"/>
    </xf>
    <xf numFmtId="0" fontId="5" fillId="3" borderId="12" xfId="2" applyFont="1" applyFill="1" applyBorder="1" applyAlignment="1">
      <alignment horizontal="left" vertical="center"/>
    </xf>
    <xf numFmtId="0" fontId="2" fillId="3" borderId="12" xfId="2" applyFont="1" applyFill="1" applyBorder="1" applyAlignment="1">
      <alignment horizontal="left" vertical="center"/>
    </xf>
    <xf numFmtId="164" fontId="2" fillId="3" borderId="2" xfId="3" applyFont="1" applyFill="1" applyBorder="1" applyAlignment="1">
      <alignment horizontal="left" vertical="center"/>
    </xf>
    <xf numFmtId="4" fontId="2" fillId="3" borderId="2" xfId="1" applyNumberFormat="1" applyFont="1" applyFill="1" applyBorder="1" applyAlignment="1">
      <alignment vertical="center"/>
    </xf>
    <xf numFmtId="0" fontId="2" fillId="6" borderId="11" xfId="2" applyFont="1" applyFill="1" applyBorder="1" applyAlignment="1">
      <alignment horizontal="left" vertical="center"/>
    </xf>
    <xf numFmtId="0" fontId="2" fillId="6" borderId="12" xfId="2" applyFont="1" applyFill="1" applyBorder="1" applyAlignment="1">
      <alignment horizontal="left" vertical="center"/>
    </xf>
    <xf numFmtId="164" fontId="2" fillId="6" borderId="2" xfId="3" applyFont="1" applyFill="1" applyBorder="1" applyAlignment="1">
      <alignment horizontal="left" vertical="center"/>
    </xf>
    <xf numFmtId="4" fontId="2" fillId="6" borderId="2" xfId="1" applyNumberFormat="1" applyFont="1" applyFill="1" applyBorder="1" applyAlignment="1">
      <alignment horizontal="center" vertical="center"/>
    </xf>
    <xf numFmtId="164" fontId="2" fillId="6" borderId="10" xfId="3" applyFont="1" applyFill="1" applyBorder="1" applyAlignment="1">
      <alignment horizontal="left" vertical="center"/>
    </xf>
    <xf numFmtId="0" fontId="2" fillId="2" borderId="11" xfId="2" applyFont="1" applyFill="1" applyBorder="1" applyAlignment="1">
      <alignment horizontal="left" vertical="center"/>
    </xf>
    <xf numFmtId="0" fontId="2" fillId="2" borderId="12" xfId="2" applyFont="1" applyFill="1" applyBorder="1" applyAlignment="1">
      <alignment horizontal="left" vertical="center"/>
    </xf>
    <xf numFmtId="164" fontId="2" fillId="2" borderId="2" xfId="3" applyFont="1" applyFill="1" applyBorder="1" applyAlignment="1">
      <alignment horizontal="left" vertical="center"/>
    </xf>
    <xf numFmtId="4" fontId="2" fillId="2" borderId="2" xfId="1" applyNumberFormat="1" applyFont="1" applyFill="1" applyBorder="1" applyAlignment="1">
      <alignment horizontal="center" vertical="center"/>
    </xf>
    <xf numFmtId="0" fontId="2" fillId="4" borderId="11" xfId="2" applyFont="1" applyFill="1" applyBorder="1" applyAlignment="1">
      <alignment horizontal="left" vertical="center"/>
    </xf>
    <xf numFmtId="0" fontId="2" fillId="4" borderId="12" xfId="2" applyFont="1" applyFill="1" applyBorder="1" applyAlignment="1">
      <alignment horizontal="left" vertical="center"/>
    </xf>
    <xf numFmtId="0" fontId="2" fillId="4" borderId="1" xfId="2" applyFont="1" applyFill="1" applyBorder="1" applyAlignment="1">
      <alignment horizontal="left" vertical="center"/>
    </xf>
    <xf numFmtId="0" fontId="2" fillId="4" borderId="2" xfId="2" applyFont="1" applyFill="1" applyBorder="1" applyAlignment="1">
      <alignment horizontal="left" vertical="center"/>
    </xf>
    <xf numFmtId="164" fontId="2" fillId="4" borderId="2" xfId="3" applyFont="1" applyFill="1" applyBorder="1" applyAlignment="1">
      <alignment horizontal="left" vertical="center"/>
    </xf>
    <xf numFmtId="164" fontId="2" fillId="4" borderId="2" xfId="3" applyFont="1" applyFill="1" applyBorder="1" applyAlignment="1">
      <alignment horizontal="center" vertical="center"/>
    </xf>
    <xf numFmtId="0" fontId="2" fillId="7" borderId="11" xfId="2" applyFont="1" applyFill="1" applyBorder="1" applyAlignment="1">
      <alignment horizontal="left" vertical="center"/>
    </xf>
    <xf numFmtId="0" fontId="2" fillId="7" borderId="12" xfId="2" applyFont="1" applyFill="1" applyBorder="1" applyAlignment="1">
      <alignment horizontal="left" vertical="center"/>
    </xf>
    <xf numFmtId="0" fontId="2" fillId="7" borderId="2" xfId="2" applyFont="1" applyFill="1" applyBorder="1" applyAlignment="1">
      <alignment horizontal="left" vertical="center"/>
    </xf>
    <xf numFmtId="164" fontId="2" fillId="7" borderId="2" xfId="3" applyFont="1" applyFill="1" applyBorder="1" applyAlignment="1">
      <alignment horizontal="left" vertical="center"/>
    </xf>
    <xf numFmtId="4" fontId="2" fillId="7" borderId="2" xfId="1" applyNumberFormat="1" applyFont="1" applyFill="1" applyBorder="1" applyAlignment="1">
      <alignment horizontal="center" vertical="center"/>
    </xf>
    <xf numFmtId="0" fontId="5" fillId="6" borderId="11" xfId="2" applyFont="1" applyFill="1" applyBorder="1" applyAlignment="1">
      <alignment horizontal="left" vertical="center"/>
    </xf>
    <xf numFmtId="0" fontId="5" fillId="6" borderId="12" xfId="2" applyFont="1" applyFill="1" applyBorder="1" applyAlignment="1">
      <alignment horizontal="left" vertical="center"/>
    </xf>
    <xf numFmtId="4" fontId="2" fillId="6" borderId="2" xfId="1" applyNumberFormat="1" applyFont="1" applyFill="1" applyBorder="1" applyAlignment="1">
      <alignment horizontal="left" vertical="center"/>
    </xf>
    <xf numFmtId="3" fontId="2" fillId="6" borderId="2" xfId="3" applyNumberFormat="1" applyFont="1" applyFill="1" applyBorder="1" applyAlignment="1">
      <alignment horizontal="center" vertical="center"/>
    </xf>
    <xf numFmtId="164" fontId="2" fillId="6" borderId="2" xfId="1" applyFont="1" applyFill="1" applyBorder="1" applyAlignment="1">
      <alignment horizontal="left" vertical="center"/>
    </xf>
    <xf numFmtId="4" fontId="2" fillId="6" borderId="2" xfId="3" applyNumberFormat="1" applyFont="1" applyFill="1" applyBorder="1" applyAlignment="1">
      <alignment horizontal="center" vertical="center"/>
    </xf>
    <xf numFmtId="0" fontId="2" fillId="6" borderId="7" xfId="2" applyFont="1" applyFill="1" applyBorder="1" applyAlignment="1">
      <alignment horizontal="left" vertical="center"/>
    </xf>
    <xf numFmtId="0" fontId="2" fillId="6" borderId="0" xfId="2" applyFont="1" applyFill="1" applyAlignment="1">
      <alignment horizontal="left" vertical="center"/>
    </xf>
    <xf numFmtId="0" fontId="2" fillId="6" borderId="8" xfId="2" applyFont="1" applyFill="1" applyBorder="1" applyAlignment="1">
      <alignment horizontal="left" vertical="center"/>
    </xf>
    <xf numFmtId="164" fontId="2" fillId="6" borderId="2" xfId="2" applyNumberFormat="1" applyFont="1" applyFill="1" applyBorder="1" applyAlignment="1">
      <alignment horizontal="left" vertical="center"/>
    </xf>
    <xf numFmtId="3" fontId="6" fillId="6" borderId="2" xfId="3" applyNumberFormat="1" applyFont="1" applyFill="1" applyBorder="1" applyAlignment="1">
      <alignment horizontal="center" vertical="center"/>
    </xf>
    <xf numFmtId="4" fontId="6" fillId="6" borderId="2" xfId="3" applyNumberFormat="1" applyFont="1" applyFill="1" applyBorder="1" applyAlignment="1">
      <alignment horizontal="center" vertical="center"/>
    </xf>
    <xf numFmtId="0" fontId="2" fillId="6" borderId="11" xfId="2" applyFont="1" applyFill="1" applyBorder="1" applyAlignment="1">
      <alignment horizontal="left" vertical="center"/>
    </xf>
    <xf numFmtId="0" fontId="2" fillId="6" borderId="12" xfId="2" applyFont="1" applyFill="1" applyBorder="1" applyAlignment="1">
      <alignment horizontal="left" vertical="center"/>
    </xf>
    <xf numFmtId="0" fontId="2" fillId="6" borderId="1" xfId="2" applyFont="1" applyFill="1" applyBorder="1" applyAlignment="1">
      <alignment horizontal="left" vertical="center"/>
    </xf>
    <xf numFmtId="0" fontId="6" fillId="6" borderId="2" xfId="2" applyFont="1" applyFill="1" applyBorder="1" applyAlignment="1">
      <alignment horizontal="center" vertical="center"/>
    </xf>
    <xf numFmtId="49" fontId="2" fillId="7" borderId="12" xfId="2" applyNumberFormat="1" applyFont="1" applyFill="1" applyBorder="1" applyAlignment="1">
      <alignment horizontal="left" vertical="center"/>
    </xf>
    <xf numFmtId="4" fontId="2" fillId="7" borderId="2" xfId="3" applyNumberFormat="1" applyFont="1" applyFill="1" applyBorder="1" applyAlignment="1">
      <alignment horizontal="center" vertical="center"/>
    </xf>
    <xf numFmtId="0" fontId="2" fillId="3" borderId="11" xfId="2" applyFont="1" applyFill="1" applyBorder="1" applyAlignment="1">
      <alignment horizontal="left" vertical="center"/>
    </xf>
    <xf numFmtId="4" fontId="6" fillId="3" borderId="2" xfId="1" applyNumberFormat="1" applyFont="1" applyFill="1" applyBorder="1" applyAlignment="1">
      <alignment horizontal="center" vertical="center"/>
    </xf>
    <xf numFmtId="164" fontId="2" fillId="2" borderId="2" xfId="4" applyFont="1" applyFill="1" applyBorder="1" applyAlignment="1">
      <alignment horizontal="right" vertical="center"/>
    </xf>
    <xf numFmtId="164" fontId="2" fillId="2" borderId="2" xfId="3" applyFont="1" applyFill="1" applyBorder="1" applyAlignment="1">
      <alignment horizontal="right" vertical="center"/>
    </xf>
    <xf numFmtId="3" fontId="2" fillId="2" borderId="2" xfId="3" applyNumberFormat="1" applyFont="1" applyFill="1" applyBorder="1" applyAlignment="1">
      <alignment horizontal="center" vertical="center"/>
    </xf>
    <xf numFmtId="0" fontId="2" fillId="4" borderId="12" xfId="2" applyFont="1" applyFill="1" applyBorder="1" applyAlignment="1">
      <alignment horizontal="left" vertical="center"/>
    </xf>
    <xf numFmtId="164" fontId="2" fillId="4" borderId="2" xfId="4" applyFont="1" applyFill="1" applyBorder="1" applyAlignment="1">
      <alignment horizontal="right" vertical="center"/>
    </xf>
    <xf numFmtId="3" fontId="2" fillId="4" borderId="2" xfId="3" applyNumberFormat="1" applyFont="1" applyFill="1" applyBorder="1" applyAlignment="1">
      <alignment horizontal="center" vertical="center"/>
    </xf>
    <xf numFmtId="0" fontId="2" fillId="9" borderId="11" xfId="2" applyFont="1" applyFill="1" applyBorder="1" applyAlignment="1">
      <alignment horizontal="left" vertical="center"/>
    </xf>
    <xf numFmtId="0" fontId="2" fillId="9" borderId="12" xfId="2" applyFont="1" applyFill="1" applyBorder="1" applyAlignment="1">
      <alignment horizontal="left" vertical="center"/>
    </xf>
    <xf numFmtId="164" fontId="2" fillId="9" borderId="2" xfId="3" applyFont="1" applyFill="1" applyBorder="1" applyAlignment="1">
      <alignment horizontal="left" vertical="center"/>
    </xf>
    <xf numFmtId="164" fontId="2" fillId="9" borderId="2" xfId="3" applyFont="1" applyFill="1" applyBorder="1" applyAlignment="1">
      <alignment horizontal="right" vertical="center"/>
    </xf>
    <xf numFmtId="4" fontId="2" fillId="9" borderId="2" xfId="1" applyNumberFormat="1" applyFont="1" applyFill="1" applyBorder="1" applyAlignment="1">
      <alignment horizontal="left" vertical="center"/>
    </xf>
    <xf numFmtId="0" fontId="2" fillId="8" borderId="11" xfId="2" applyFont="1" applyFill="1" applyBorder="1" applyAlignment="1">
      <alignment horizontal="left" vertical="center"/>
    </xf>
    <xf numFmtId="0" fontId="2" fillId="8" borderId="12" xfId="2" applyFont="1" applyFill="1" applyBorder="1" applyAlignment="1">
      <alignment horizontal="left" vertical="center"/>
    </xf>
    <xf numFmtId="164" fontId="2" fillId="8" borderId="2" xfId="3" applyFont="1" applyFill="1" applyBorder="1" applyAlignment="1">
      <alignment horizontal="left" vertical="center"/>
    </xf>
    <xf numFmtId="164" fontId="2" fillId="8" borderId="2" xfId="3" applyFont="1" applyFill="1" applyBorder="1" applyAlignment="1">
      <alignment horizontal="right" vertical="center"/>
    </xf>
    <xf numFmtId="4" fontId="2" fillId="8" borderId="2" xfId="1" applyNumberFormat="1" applyFont="1" applyFill="1" applyBorder="1" applyAlignment="1">
      <alignment horizontal="left" vertical="center"/>
    </xf>
    <xf numFmtId="0" fontId="2" fillId="8" borderId="2" xfId="2" applyFont="1" applyFill="1" applyBorder="1" applyAlignment="1">
      <alignment horizontal="left" vertical="center"/>
    </xf>
    <xf numFmtId="164" fontId="2" fillId="8" borderId="2" xfId="3" applyFont="1" applyFill="1" applyBorder="1" applyAlignment="1">
      <alignment horizontal="center" vertical="center"/>
    </xf>
    <xf numFmtId="166" fontId="2" fillId="8" borderId="12" xfId="2" applyNumberFormat="1" applyFont="1" applyFill="1" applyBorder="1" applyAlignment="1">
      <alignment horizontal="left" vertical="center"/>
    </xf>
    <xf numFmtId="0" fontId="2" fillId="10" borderId="11" xfId="2" applyFont="1" applyFill="1" applyBorder="1" applyAlignment="1">
      <alignment horizontal="left" vertical="center"/>
    </xf>
    <xf numFmtId="49" fontId="2" fillId="10" borderId="12" xfId="2" applyNumberFormat="1" applyFont="1" applyFill="1" applyBorder="1" applyAlignment="1">
      <alignment horizontal="left" vertical="center"/>
    </xf>
    <xf numFmtId="0" fontId="2" fillId="10" borderId="12" xfId="2" applyFont="1" applyFill="1" applyBorder="1" applyAlignment="1">
      <alignment horizontal="left" vertical="center"/>
    </xf>
    <xf numFmtId="164" fontId="2" fillId="10" borderId="2" xfId="3" applyFont="1" applyFill="1" applyBorder="1" applyAlignment="1">
      <alignment horizontal="left" vertical="center"/>
    </xf>
    <xf numFmtId="164" fontId="2" fillId="10" borderId="2" xfId="4" applyFont="1" applyFill="1" applyBorder="1" applyAlignment="1">
      <alignment horizontal="left" vertical="center"/>
    </xf>
    <xf numFmtId="164" fontId="2" fillId="10" borderId="2" xfId="3" applyFont="1" applyFill="1" applyBorder="1" applyAlignment="1">
      <alignment horizontal="center" vertical="center"/>
    </xf>
    <xf numFmtId="4" fontId="2" fillId="10" borderId="2" xfId="1" applyNumberFormat="1" applyFont="1" applyFill="1" applyBorder="1" applyAlignment="1">
      <alignment horizontal="left" vertical="center"/>
    </xf>
    <xf numFmtId="0" fontId="2" fillId="5" borderId="11" xfId="2" applyFont="1" applyFill="1" applyBorder="1" applyAlignment="1">
      <alignment horizontal="left" vertical="center"/>
    </xf>
    <xf numFmtId="49" fontId="2" fillId="5" borderId="12" xfId="2" applyNumberFormat="1" applyFont="1" applyFill="1" applyBorder="1" applyAlignment="1">
      <alignment horizontal="left" vertical="center"/>
    </xf>
    <xf numFmtId="0" fontId="2" fillId="5" borderId="12" xfId="2" applyFont="1" applyFill="1" applyBorder="1" applyAlignment="1">
      <alignment horizontal="left" vertical="center"/>
    </xf>
    <xf numFmtId="164" fontId="2" fillId="5" borderId="2" xfId="4" applyFont="1" applyFill="1" applyBorder="1" applyAlignment="1">
      <alignment horizontal="left" vertical="center"/>
    </xf>
    <xf numFmtId="164" fontId="2" fillId="5" borderId="2" xfId="3" applyFont="1" applyFill="1" applyBorder="1" applyAlignment="1">
      <alignment horizontal="left" vertical="center"/>
    </xf>
    <xf numFmtId="4" fontId="2" fillId="11" borderId="2" xfId="1" applyNumberFormat="1" applyFont="1" applyFill="1" applyBorder="1" applyAlignment="1">
      <alignment horizontal="center" vertical="center"/>
    </xf>
    <xf numFmtId="0" fontId="2" fillId="12" borderId="11" xfId="2" applyFont="1" applyFill="1" applyBorder="1" applyAlignment="1">
      <alignment horizontal="left" vertical="center"/>
    </xf>
    <xf numFmtId="49" fontId="2" fillId="12" borderId="12" xfId="2" applyNumberFormat="1" applyFont="1" applyFill="1" applyBorder="1" applyAlignment="1">
      <alignment horizontal="left" vertical="center"/>
    </xf>
    <xf numFmtId="0" fontId="2" fillId="12" borderId="12" xfId="2" applyFont="1" applyFill="1" applyBorder="1" applyAlignment="1">
      <alignment horizontal="left" vertical="center"/>
    </xf>
    <xf numFmtId="164" fontId="2" fillId="12" borderId="2" xfId="4" applyFont="1" applyFill="1" applyBorder="1" applyAlignment="1">
      <alignment horizontal="left" vertical="center"/>
    </xf>
    <xf numFmtId="164" fontId="2" fillId="12" borderId="2" xfId="3" applyFont="1" applyFill="1" applyBorder="1" applyAlignment="1">
      <alignment horizontal="left" vertical="center"/>
    </xf>
    <xf numFmtId="4" fontId="2" fillId="13" borderId="2" xfId="1" applyNumberFormat="1" applyFont="1" applyFill="1" applyBorder="1" applyAlignment="1">
      <alignment horizontal="left" vertical="center"/>
    </xf>
    <xf numFmtId="0" fontId="2" fillId="3" borderId="3" xfId="2" applyFont="1" applyFill="1" applyBorder="1" applyAlignment="1">
      <alignment horizontal="left" vertical="center"/>
    </xf>
    <xf numFmtId="0" fontId="2" fillId="3" borderId="4" xfId="2" applyFont="1" applyFill="1" applyBorder="1" applyAlignment="1">
      <alignment horizontal="left" vertical="center"/>
    </xf>
    <xf numFmtId="0" fontId="5" fillId="3" borderId="4" xfId="2" applyFont="1" applyFill="1" applyBorder="1" applyAlignment="1">
      <alignment horizontal="left" vertical="center"/>
    </xf>
    <xf numFmtId="164" fontId="5" fillId="3" borderId="13" xfId="3" applyFont="1" applyFill="1" applyBorder="1" applyAlignment="1">
      <alignment horizontal="left" vertical="center"/>
    </xf>
    <xf numFmtId="4" fontId="2" fillId="3" borderId="2" xfId="1" applyNumberFormat="1" applyFont="1" applyFill="1" applyBorder="1" applyAlignment="1">
      <alignment horizontal="left" vertical="center"/>
    </xf>
    <xf numFmtId="164" fontId="5" fillId="3" borderId="14" xfId="3" applyFont="1" applyFill="1" applyBorder="1" applyAlignment="1">
      <alignment horizontal="left" vertical="center"/>
    </xf>
    <xf numFmtId="4" fontId="5" fillId="3" borderId="14" xfId="1" applyNumberFormat="1" applyFont="1" applyFill="1" applyBorder="1" applyAlignment="1">
      <alignment horizontal="left" vertical="center"/>
    </xf>
    <xf numFmtId="0" fontId="2" fillId="3" borderId="0" xfId="0" applyFont="1" applyFill="1"/>
    <xf numFmtId="4" fontId="2" fillId="3" borderId="0" xfId="1" applyNumberFormat="1" applyFont="1" applyFill="1"/>
    <xf numFmtId="0" fontId="2" fillId="3" borderId="0" xfId="0" applyFont="1" applyFill="1" applyAlignment="1">
      <alignment horizontal="center"/>
    </xf>
    <xf numFmtId="0" fontId="2" fillId="0" borderId="0" xfId="0" applyFont="1"/>
    <xf numFmtId="4" fontId="2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0" xfId="2" applyFont="1" applyAlignment="1">
      <alignment horizontal="center"/>
    </xf>
    <xf numFmtId="0" fontId="8" fillId="0" borderId="0" xfId="2" applyFont="1" applyAlignment="1">
      <alignment horizontal="center" vertical="center"/>
    </xf>
  </cellXfs>
  <cellStyles count="5">
    <cellStyle name="Comma" xfId="1" builtinId="3"/>
    <cellStyle name="Comma 2 2" xfId="3" xr:uid="{B4C87A1E-A660-40ED-A7EC-A710CC1F7B70}"/>
    <cellStyle name="Normal" xfId="0" builtinId="0"/>
    <cellStyle name="Normal 2" xfId="2" xr:uid="{99D8E1D1-F93A-4658-AECB-8B63956968D3}"/>
    <cellStyle name="เครื่องหมายจุลภาค 2 2" xfId="4" xr:uid="{FB8BC67A-32A4-4EA2-A545-AE2DCA21A5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0F41-0794-4918-8E8B-EA7E3AC57D56}">
  <dimension ref="A1:L48"/>
  <sheetViews>
    <sheetView tabSelected="1" topLeftCell="B1" zoomScaleNormal="100" workbookViewId="0">
      <selection activeCell="Q9" sqref="Q9"/>
    </sheetView>
  </sheetViews>
  <sheetFormatPr defaultColWidth="8.75" defaultRowHeight="12"/>
  <cols>
    <col min="1" max="1" width="0.875" style="2" hidden="1" customWidth="1"/>
    <col min="2" max="2" width="1.875" style="2" customWidth="1"/>
    <col min="3" max="3" width="3.625" style="2" customWidth="1"/>
    <col min="4" max="4" width="4.75" style="2" customWidth="1"/>
    <col min="5" max="6" width="8.875" style="2" customWidth="1"/>
    <col min="7" max="7" width="12.875" style="2" customWidth="1"/>
    <col min="8" max="8" width="9.25" style="2" customWidth="1"/>
    <col min="9" max="9" width="13.25" style="2" customWidth="1"/>
    <col min="10" max="10" width="10.875" style="2" customWidth="1"/>
    <col min="11" max="11" width="12.875" style="2" customWidth="1"/>
    <col min="12" max="12" width="7.625" style="2" customWidth="1"/>
    <col min="13" max="16384" width="8.75" style="2"/>
  </cols>
  <sheetData>
    <row r="1" spans="1:12" ht="19.149999999999999" customHeight="1">
      <c r="A1" s="1"/>
      <c r="B1" s="116" t="s">
        <v>0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ht="17.45" customHeight="1">
      <c r="A2" s="1"/>
      <c r="B2" s="117" t="s">
        <v>1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2" ht="16.899999999999999" customHeight="1">
      <c r="A3" s="1"/>
      <c r="B3" s="117" t="s">
        <v>2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1:12" ht="16.149999999999999" customHeight="1">
      <c r="A4" s="1"/>
      <c r="B4" s="3" t="s">
        <v>3</v>
      </c>
      <c r="C4" s="4"/>
      <c r="D4" s="4"/>
      <c r="E4" s="4"/>
      <c r="F4" s="4"/>
      <c r="G4" s="5"/>
      <c r="H4" s="6" t="s">
        <v>4</v>
      </c>
      <c r="I4" s="7" t="s">
        <v>5</v>
      </c>
      <c r="J4" s="7" t="s">
        <v>5</v>
      </c>
      <c r="K4" s="6" t="s">
        <v>6</v>
      </c>
      <c r="L4" s="8" t="s">
        <v>7</v>
      </c>
    </row>
    <row r="5" spans="1:12" ht="11.45" customHeight="1">
      <c r="A5" s="1"/>
      <c r="B5" s="9"/>
      <c r="C5" s="10"/>
      <c r="D5" s="10"/>
      <c r="E5" s="10"/>
      <c r="F5" s="10"/>
      <c r="G5" s="11"/>
      <c r="H5" s="12"/>
      <c r="I5" s="13" t="s">
        <v>8</v>
      </c>
      <c r="J5" s="13" t="s">
        <v>9</v>
      </c>
      <c r="K5" s="12"/>
      <c r="L5" s="14"/>
    </row>
    <row r="6" spans="1:12" ht="15" customHeight="1">
      <c r="A6" s="15"/>
      <c r="B6" s="16" t="s">
        <v>10</v>
      </c>
      <c r="C6" s="17"/>
      <c r="D6" s="18"/>
      <c r="E6" s="18"/>
      <c r="F6" s="18"/>
      <c r="G6" s="18"/>
      <c r="H6" s="19"/>
      <c r="I6" s="19"/>
      <c r="J6" s="19"/>
      <c r="K6" s="19"/>
      <c r="L6" s="20"/>
    </row>
    <row r="7" spans="1:12" ht="15" customHeight="1">
      <c r="A7" s="15"/>
      <c r="B7" s="16" t="s">
        <v>11</v>
      </c>
      <c r="C7" s="17"/>
      <c r="D7" s="18"/>
      <c r="E7" s="18"/>
      <c r="F7" s="18"/>
      <c r="G7" s="18"/>
      <c r="H7" s="19"/>
      <c r="I7" s="19"/>
      <c r="J7" s="19" t="s">
        <v>12</v>
      </c>
      <c r="K7" s="19"/>
      <c r="L7" s="20"/>
    </row>
    <row r="8" spans="1:12" ht="15" customHeight="1">
      <c r="A8" s="15"/>
      <c r="B8" s="21"/>
      <c r="C8" s="22" t="s">
        <v>13</v>
      </c>
      <c r="D8" s="22"/>
      <c r="E8" s="22"/>
      <c r="F8" s="22"/>
      <c r="G8" s="22"/>
      <c r="H8" s="23"/>
      <c r="I8" s="23">
        <v>1686.3</v>
      </c>
      <c r="J8" s="23"/>
      <c r="K8" s="23">
        <f>I8</f>
        <v>1686.3</v>
      </c>
      <c r="L8" s="24"/>
    </row>
    <row r="9" spans="1:12" ht="15" customHeight="1">
      <c r="A9" s="15"/>
      <c r="B9" s="26"/>
      <c r="C9" s="27" t="s">
        <v>14</v>
      </c>
      <c r="D9" s="27"/>
      <c r="E9" s="27"/>
      <c r="F9" s="27"/>
      <c r="G9" s="27"/>
      <c r="H9" s="28"/>
      <c r="I9" s="28">
        <v>1517.76</v>
      </c>
      <c r="J9" s="28"/>
      <c r="K9" s="28">
        <f>I9</f>
        <v>1517.76</v>
      </c>
      <c r="L9" s="29"/>
    </row>
    <row r="10" spans="1:12" ht="15" customHeight="1">
      <c r="A10" s="15"/>
      <c r="B10" s="30"/>
      <c r="C10" s="31" t="s">
        <v>15</v>
      </c>
      <c r="D10" s="31"/>
      <c r="E10" s="31"/>
      <c r="F10" s="31"/>
      <c r="G10" s="32"/>
      <c r="H10" s="33"/>
      <c r="I10" s="34">
        <v>187.04</v>
      </c>
      <c r="J10" s="33"/>
      <c r="K10" s="34">
        <f>I10</f>
        <v>187.04</v>
      </c>
      <c r="L10" s="35"/>
    </row>
    <row r="11" spans="1:12" ht="15" customHeight="1">
      <c r="A11" s="15"/>
      <c r="B11" s="36"/>
      <c r="C11" s="37" t="s">
        <v>16</v>
      </c>
      <c r="D11" s="37"/>
      <c r="E11" s="37"/>
      <c r="F11" s="37"/>
      <c r="G11" s="37"/>
      <c r="H11" s="38"/>
      <c r="I11" s="39">
        <v>11.57</v>
      </c>
      <c r="J11" s="38"/>
      <c r="K11" s="39">
        <f>I11</f>
        <v>11.57</v>
      </c>
      <c r="L11" s="40"/>
    </row>
    <row r="12" spans="1:12" ht="15" customHeight="1">
      <c r="A12" s="15"/>
      <c r="B12" s="41" t="s">
        <v>17</v>
      </c>
      <c r="C12" s="42"/>
      <c r="D12" s="22"/>
      <c r="E12" s="22"/>
      <c r="F12" s="22"/>
      <c r="G12" s="22"/>
      <c r="H12" s="23"/>
      <c r="I12" s="23"/>
      <c r="J12" s="23"/>
      <c r="K12" s="23"/>
      <c r="L12" s="43"/>
    </row>
    <row r="13" spans="1:12" ht="15" customHeight="1">
      <c r="A13" s="15"/>
      <c r="B13" s="41"/>
      <c r="C13" s="22" t="s">
        <v>18</v>
      </c>
      <c r="D13" s="22"/>
      <c r="E13" s="22"/>
      <c r="F13" s="22"/>
      <c r="G13" s="22"/>
      <c r="H13" s="23"/>
      <c r="I13" s="23">
        <f>336309.03-53381.67-7101.5</f>
        <v>275825.86000000004</v>
      </c>
      <c r="J13" s="23"/>
      <c r="K13" s="23">
        <f>I13</f>
        <v>275825.86000000004</v>
      </c>
      <c r="L13" s="44" t="s">
        <v>19</v>
      </c>
    </row>
    <row r="14" spans="1:12" ht="15" customHeight="1">
      <c r="A14" s="15"/>
      <c r="B14" s="41"/>
      <c r="C14" s="22" t="s">
        <v>20</v>
      </c>
      <c r="D14" s="22"/>
      <c r="E14" s="22"/>
      <c r="F14" s="22"/>
      <c r="G14" s="22"/>
      <c r="H14" s="23"/>
      <c r="I14" s="45">
        <v>0</v>
      </c>
      <c r="J14" s="23"/>
      <c r="K14" s="23">
        <f>I14</f>
        <v>0</v>
      </c>
      <c r="L14" s="44"/>
    </row>
    <row r="15" spans="1:12" ht="15" customHeight="1">
      <c r="A15" s="15"/>
      <c r="B15" s="21"/>
      <c r="C15" s="22" t="s">
        <v>21</v>
      </c>
      <c r="D15" s="22"/>
      <c r="E15" s="22"/>
      <c r="F15" s="22"/>
      <c r="G15" s="22"/>
      <c r="H15" s="23"/>
      <c r="I15" s="45">
        <v>0</v>
      </c>
      <c r="J15" s="23"/>
      <c r="K15" s="23">
        <f t="shared" ref="K15:K17" si="0">SUM(H15:J15)</f>
        <v>0</v>
      </c>
      <c r="L15" s="46"/>
    </row>
    <row r="16" spans="1:12" ht="15" customHeight="1">
      <c r="A16" s="15"/>
      <c r="B16" s="21"/>
      <c r="C16" s="22"/>
      <c r="D16" s="22" t="s">
        <v>22</v>
      </c>
      <c r="E16" s="22"/>
      <c r="F16" s="22"/>
      <c r="G16" s="22"/>
      <c r="H16" s="23"/>
      <c r="I16" s="45">
        <f>32170-1755</f>
        <v>30415</v>
      </c>
      <c r="J16" s="23"/>
      <c r="K16" s="23">
        <f t="shared" si="0"/>
        <v>30415</v>
      </c>
      <c r="L16" s="44"/>
    </row>
    <row r="17" spans="1:12" ht="15" customHeight="1">
      <c r="A17" s="15"/>
      <c r="B17" s="47"/>
      <c r="C17" s="48"/>
      <c r="D17" s="22" t="s">
        <v>23</v>
      </c>
      <c r="E17" s="49"/>
      <c r="F17" s="49"/>
      <c r="G17" s="49"/>
      <c r="H17" s="23"/>
      <c r="I17" s="50">
        <v>82755</v>
      </c>
      <c r="J17" s="25"/>
      <c r="K17" s="23">
        <f t="shared" si="0"/>
        <v>82755</v>
      </c>
      <c r="L17" s="44"/>
    </row>
    <row r="18" spans="1:12" ht="15" customHeight="1">
      <c r="A18" s="15"/>
      <c r="B18" s="21"/>
      <c r="C18" s="22"/>
      <c r="D18" s="22" t="s">
        <v>24</v>
      </c>
      <c r="E18" s="22"/>
      <c r="F18" s="22"/>
      <c r="G18" s="22"/>
      <c r="H18" s="23"/>
      <c r="I18" s="50">
        <f>402344.85-4703.72-38175.93+47145+1755-76491-18370</f>
        <v>313504.2</v>
      </c>
      <c r="J18" s="23"/>
      <c r="K18" s="23">
        <f t="shared" ref="K18:K19" si="1">I18</f>
        <v>313504.2</v>
      </c>
      <c r="L18" s="44"/>
    </row>
    <row r="19" spans="1:12" ht="15" customHeight="1">
      <c r="A19" s="15"/>
      <c r="B19" s="21"/>
      <c r="C19" s="22"/>
      <c r="D19" s="22" t="s">
        <v>25</v>
      </c>
      <c r="E19" s="22"/>
      <c r="F19" s="22"/>
      <c r="G19" s="22"/>
      <c r="H19" s="23"/>
      <c r="I19" s="45">
        <f>397925+81904-17603.5-415917+98970</f>
        <v>145278.5</v>
      </c>
      <c r="J19" s="23"/>
      <c r="K19" s="23">
        <f t="shared" si="1"/>
        <v>145278.5</v>
      </c>
      <c r="L19" s="51"/>
    </row>
    <row r="20" spans="1:12" ht="15" customHeight="1">
      <c r="A20" s="15"/>
      <c r="B20" s="21"/>
      <c r="C20" s="22" t="s">
        <v>26</v>
      </c>
      <c r="D20" s="22"/>
      <c r="E20" s="22"/>
      <c r="F20" s="22"/>
      <c r="G20" s="22"/>
      <c r="H20" s="23"/>
      <c r="I20" s="45">
        <v>0</v>
      </c>
      <c r="J20" s="23"/>
      <c r="K20" s="23">
        <v>0</v>
      </c>
      <c r="L20" s="52"/>
    </row>
    <row r="21" spans="1:12" ht="15" customHeight="1">
      <c r="A21" s="15"/>
      <c r="B21" s="53" t="s">
        <v>27</v>
      </c>
      <c r="C21" s="54"/>
      <c r="D21" s="54"/>
      <c r="E21" s="54"/>
      <c r="F21" s="54"/>
      <c r="G21" s="55"/>
      <c r="H21" s="23"/>
      <c r="I21" s="45">
        <v>0</v>
      </c>
      <c r="J21" s="23"/>
      <c r="K21" s="23"/>
      <c r="L21" s="56"/>
    </row>
    <row r="22" spans="1:12" ht="15" customHeight="1">
      <c r="A22" s="15"/>
      <c r="B22" s="36"/>
      <c r="C22" s="57" t="s">
        <v>28</v>
      </c>
      <c r="D22" s="37"/>
      <c r="E22" s="37"/>
      <c r="F22" s="37"/>
      <c r="G22" s="37"/>
      <c r="H22" s="39"/>
      <c r="I22" s="39">
        <v>0</v>
      </c>
      <c r="J22" s="39"/>
      <c r="K22" s="39">
        <f t="shared" ref="K22" si="2">I22</f>
        <v>0</v>
      </c>
      <c r="L22" s="58"/>
    </row>
    <row r="23" spans="1:12" ht="15" customHeight="1">
      <c r="A23" s="15"/>
      <c r="B23" s="59"/>
      <c r="C23" s="18" t="s">
        <v>29</v>
      </c>
      <c r="D23" s="18"/>
      <c r="E23" s="18"/>
      <c r="F23" s="18"/>
      <c r="G23" s="18"/>
      <c r="H23" s="19"/>
      <c r="I23" s="19"/>
      <c r="J23" s="19"/>
      <c r="K23" s="19"/>
      <c r="L23" s="60"/>
    </row>
    <row r="24" spans="1:12" ht="15" customHeight="1">
      <c r="A24" s="15"/>
      <c r="B24" s="26"/>
      <c r="C24" s="27"/>
      <c r="D24" s="27" t="s">
        <v>30</v>
      </c>
      <c r="E24" s="27"/>
      <c r="F24" s="27"/>
      <c r="G24" s="27"/>
      <c r="H24" s="28"/>
      <c r="I24" s="61">
        <f>1320790-58630-58300-58190-200000-58190-58300-58300-58300-58410-46728-58520-58520-58520-58630-58630-58630-46904</f>
        <v>209088</v>
      </c>
      <c r="J24" s="62"/>
      <c r="K24" s="62">
        <f>SUM(I24:J24)</f>
        <v>209088</v>
      </c>
      <c r="L24" s="63" t="s">
        <v>31</v>
      </c>
    </row>
    <row r="25" spans="1:12" ht="15" customHeight="1">
      <c r="A25" s="15"/>
      <c r="B25" s="30"/>
      <c r="C25" s="64"/>
      <c r="D25" s="64" t="s">
        <v>32</v>
      </c>
      <c r="E25" s="64"/>
      <c r="F25" s="64"/>
      <c r="G25" s="64"/>
      <c r="H25" s="34"/>
      <c r="I25" s="65">
        <f>114317.2-45000-45000+135000-45000-45000</f>
        <v>69317.200000000012</v>
      </c>
      <c r="J25" s="65"/>
      <c r="K25" s="65">
        <f t="shared" ref="K25" si="3">I25</f>
        <v>69317.200000000012</v>
      </c>
      <c r="L25" s="66"/>
    </row>
    <row r="26" spans="1:12" ht="15" customHeight="1">
      <c r="A26" s="15"/>
      <c r="B26" s="67"/>
      <c r="C26" s="68" t="s">
        <v>33</v>
      </c>
      <c r="D26" s="68"/>
      <c r="E26" s="68"/>
      <c r="F26" s="68"/>
      <c r="G26" s="68"/>
      <c r="H26" s="69"/>
      <c r="I26" s="70">
        <f>259.86+0.54</f>
        <v>260.40000000000003</v>
      </c>
      <c r="J26" s="70"/>
      <c r="K26" s="70">
        <f>SUM(H26:J26)</f>
        <v>260.40000000000003</v>
      </c>
      <c r="L26" s="71"/>
    </row>
    <row r="27" spans="1:12" ht="15" customHeight="1">
      <c r="A27" s="15"/>
      <c r="B27" s="72"/>
      <c r="C27" s="73" t="s">
        <v>34</v>
      </c>
      <c r="D27" s="73"/>
      <c r="E27" s="73"/>
      <c r="F27" s="73"/>
      <c r="G27" s="73"/>
      <c r="H27" s="74"/>
      <c r="I27" s="75"/>
      <c r="J27" s="75"/>
      <c r="K27" s="75"/>
      <c r="L27" s="76"/>
    </row>
    <row r="28" spans="1:12" ht="15" customHeight="1">
      <c r="A28" s="15"/>
      <c r="B28" s="72"/>
      <c r="C28" s="73"/>
      <c r="D28" s="73">
        <v>9.1</v>
      </c>
      <c r="E28" s="73" t="s">
        <v>35</v>
      </c>
      <c r="F28" s="73"/>
      <c r="G28" s="73"/>
      <c r="H28" s="77"/>
      <c r="I28" s="75">
        <f>1490.08+500000+5000-500000-5000+6200+1000-6200</f>
        <v>2490.0800000000163</v>
      </c>
      <c r="J28" s="75"/>
      <c r="K28" s="75">
        <f>I28</f>
        <v>2490.0800000000163</v>
      </c>
      <c r="L28" s="78"/>
    </row>
    <row r="29" spans="1:12" ht="15" customHeight="1">
      <c r="A29" s="15"/>
      <c r="B29" s="72"/>
      <c r="C29" s="79"/>
      <c r="D29" s="73">
        <v>9.1999999999999993</v>
      </c>
      <c r="E29" s="73" t="s">
        <v>36</v>
      </c>
      <c r="F29" s="73"/>
      <c r="G29" s="73"/>
      <c r="H29" s="77"/>
      <c r="I29" s="74">
        <f>49803.67+331.52+50+105.25</f>
        <v>50290.439999999995</v>
      </c>
      <c r="J29" s="74"/>
      <c r="K29" s="74">
        <f>I29</f>
        <v>50290.439999999995</v>
      </c>
      <c r="L29" s="74"/>
    </row>
    <row r="30" spans="1:12" ht="15" customHeight="1">
      <c r="A30" s="15"/>
      <c r="B30" s="80"/>
      <c r="C30" s="81" t="s">
        <v>37</v>
      </c>
      <c r="D30" s="82" t="s">
        <v>38</v>
      </c>
      <c r="E30" s="82"/>
      <c r="F30" s="82"/>
      <c r="G30" s="82"/>
      <c r="H30" s="83"/>
      <c r="I30" s="84"/>
      <c r="J30" s="85">
        <v>13499.97</v>
      </c>
      <c r="K30" s="85">
        <f>SUM(H30:J30)</f>
        <v>13499.97</v>
      </c>
      <c r="L30" s="86"/>
    </row>
    <row r="31" spans="1:12" ht="15" customHeight="1">
      <c r="A31" s="15"/>
      <c r="B31" s="80"/>
      <c r="C31" s="81"/>
      <c r="D31" s="82">
        <v>10.1</v>
      </c>
      <c r="E31" s="82" t="s">
        <v>39</v>
      </c>
      <c r="F31" s="82"/>
      <c r="G31" s="82"/>
      <c r="H31" s="83"/>
      <c r="I31" s="84"/>
      <c r="J31" s="85">
        <v>4505</v>
      </c>
      <c r="K31" s="85">
        <f t="shared" ref="K31" si="4">J31</f>
        <v>4505</v>
      </c>
      <c r="L31" s="86"/>
    </row>
    <row r="32" spans="1:12" ht="15" customHeight="1">
      <c r="A32" s="15"/>
      <c r="B32" s="80"/>
      <c r="C32" s="81"/>
      <c r="D32" s="82">
        <v>10.199999999999999</v>
      </c>
      <c r="E32" s="82" t="s">
        <v>40</v>
      </c>
      <c r="F32" s="82"/>
      <c r="G32" s="82"/>
      <c r="H32" s="83"/>
      <c r="I32" s="83"/>
      <c r="J32" s="83">
        <v>25000</v>
      </c>
      <c r="K32" s="85">
        <f>J32</f>
        <v>25000</v>
      </c>
      <c r="L32" s="86"/>
    </row>
    <row r="33" spans="1:12" ht="15" customHeight="1">
      <c r="A33" s="15"/>
      <c r="B33" s="87"/>
      <c r="C33" s="88" t="s">
        <v>41</v>
      </c>
      <c r="D33" s="89" t="s">
        <v>42</v>
      </c>
      <c r="E33" s="89"/>
      <c r="F33" s="89"/>
      <c r="G33" s="89"/>
      <c r="H33" s="90">
        <f>583+584.1+467.28+585.2+585.2+317.76+585.2+586.3+586.3+586.3+385.44</f>
        <v>5852.08</v>
      </c>
      <c r="I33" s="90">
        <v>0</v>
      </c>
      <c r="J33" s="91">
        <v>0</v>
      </c>
      <c r="K33" s="91">
        <f>H33</f>
        <v>5852.08</v>
      </c>
      <c r="L33" s="92" t="s">
        <v>43</v>
      </c>
    </row>
    <row r="34" spans="1:12" ht="15" customHeight="1">
      <c r="A34" s="15"/>
      <c r="B34" s="93"/>
      <c r="C34" s="94" t="s">
        <v>44</v>
      </c>
      <c r="D34" s="95" t="s">
        <v>45</v>
      </c>
      <c r="E34" s="95"/>
      <c r="F34" s="95"/>
      <c r="G34" s="95"/>
      <c r="H34" s="96"/>
      <c r="I34" s="96"/>
      <c r="J34" s="97"/>
      <c r="K34" s="97"/>
      <c r="L34" s="98"/>
    </row>
    <row r="35" spans="1:12" ht="15" customHeight="1" thickBot="1">
      <c r="A35" s="15"/>
      <c r="B35" s="99"/>
      <c r="C35" s="100"/>
      <c r="D35" s="100"/>
      <c r="E35" s="101" t="s">
        <v>46</v>
      </c>
      <c r="F35" s="101"/>
      <c r="G35" s="101"/>
      <c r="H35" s="102">
        <f>SUM(H14:H34)</f>
        <v>5852.08</v>
      </c>
      <c r="I35" s="102">
        <f>SUM(I8:I34)</f>
        <v>1182627.3499999999</v>
      </c>
      <c r="J35" s="102">
        <f>SUM(J8:J34)</f>
        <v>43004.97</v>
      </c>
      <c r="K35" s="102">
        <f>SUM(K8:K34)</f>
        <v>1231484.3999999999</v>
      </c>
      <c r="L35" s="103"/>
    </row>
    <row r="36" spans="1:12" ht="19.149999999999999" customHeight="1" thickTop="1" thickBot="1">
      <c r="A36" s="15"/>
      <c r="B36" s="59"/>
      <c r="C36" s="18"/>
      <c r="D36" s="18"/>
      <c r="E36" s="17" t="s">
        <v>47</v>
      </c>
      <c r="F36" s="17"/>
      <c r="G36" s="17"/>
      <c r="H36" s="104">
        <f t="shared" ref="H36:K36" si="5">H35</f>
        <v>5852.08</v>
      </c>
      <c r="I36" s="104">
        <f t="shared" si="5"/>
        <v>1182627.3499999999</v>
      </c>
      <c r="J36" s="104">
        <f t="shared" si="5"/>
        <v>43004.97</v>
      </c>
      <c r="K36" s="102">
        <f t="shared" si="5"/>
        <v>1231484.3999999999</v>
      </c>
      <c r="L36" s="105"/>
    </row>
    <row r="37" spans="1:12" ht="33.6" customHeight="1" thickTop="1">
      <c r="A37" s="1"/>
      <c r="B37" s="106"/>
      <c r="C37" s="106"/>
      <c r="D37" s="106"/>
      <c r="E37" s="106"/>
      <c r="F37" s="106"/>
      <c r="G37" s="106"/>
      <c r="H37" s="106"/>
      <c r="I37" s="106" t="s">
        <v>48</v>
      </c>
      <c r="J37" s="106"/>
      <c r="K37" s="106"/>
      <c r="L37" s="107" t="s">
        <v>49</v>
      </c>
    </row>
    <row r="38" spans="1:12" ht="21" customHeight="1">
      <c r="A38" s="1"/>
      <c r="B38" s="106"/>
      <c r="C38" s="106"/>
      <c r="D38" s="106"/>
      <c r="E38" s="106"/>
      <c r="F38" s="106"/>
      <c r="G38" s="106"/>
      <c r="H38" s="106"/>
      <c r="I38" s="108" t="s">
        <v>50</v>
      </c>
      <c r="J38" s="108"/>
      <c r="K38" s="108"/>
      <c r="L38" s="107"/>
    </row>
    <row r="39" spans="1:12">
      <c r="A39" s="1"/>
      <c r="B39" s="106"/>
      <c r="C39" s="106"/>
      <c r="D39" s="106"/>
      <c r="E39" s="106"/>
      <c r="F39" s="106"/>
      <c r="G39" s="106"/>
      <c r="H39" s="106"/>
      <c r="I39" s="108" t="s">
        <v>51</v>
      </c>
      <c r="J39" s="108"/>
      <c r="K39" s="108"/>
      <c r="L39" s="107"/>
    </row>
    <row r="40" spans="1:12" ht="20.45" customHeight="1">
      <c r="A40" s="1"/>
      <c r="B40" s="109"/>
      <c r="C40" s="109"/>
      <c r="D40" s="109" t="s">
        <v>52</v>
      </c>
      <c r="E40" s="109"/>
      <c r="F40" s="109"/>
      <c r="G40" s="109"/>
      <c r="H40" s="109"/>
      <c r="I40" s="109"/>
      <c r="J40" s="109"/>
      <c r="K40" s="109"/>
      <c r="L40" s="110"/>
    </row>
    <row r="41" spans="1:12" ht="21.6" customHeight="1">
      <c r="A41" s="1"/>
      <c r="B41" s="109" t="s">
        <v>53</v>
      </c>
      <c r="C41" s="109"/>
      <c r="D41" s="109"/>
      <c r="E41" s="109"/>
      <c r="F41" s="109"/>
      <c r="G41" s="109"/>
      <c r="H41" s="109"/>
      <c r="I41" s="109"/>
      <c r="J41" s="109"/>
      <c r="K41" s="109"/>
      <c r="L41" s="110"/>
    </row>
    <row r="42" spans="1:12" ht="24.6" customHeight="1">
      <c r="A42" s="1"/>
      <c r="B42" s="109"/>
      <c r="C42" s="111" t="s">
        <v>54</v>
      </c>
      <c r="D42" s="111"/>
      <c r="E42" s="111"/>
      <c r="F42" s="111"/>
      <c r="G42" s="111" t="s">
        <v>55</v>
      </c>
      <c r="H42" s="111"/>
      <c r="I42" s="111"/>
      <c r="J42" s="111" t="s">
        <v>56</v>
      </c>
      <c r="K42" s="111"/>
      <c r="L42" s="111"/>
    </row>
    <row r="43" spans="1:12" ht="21" customHeight="1">
      <c r="A43" s="1"/>
      <c r="B43" s="109"/>
      <c r="C43" s="111" t="s">
        <v>57</v>
      </c>
      <c r="D43" s="111"/>
      <c r="E43" s="111"/>
      <c r="F43" s="111"/>
      <c r="G43" s="111" t="s">
        <v>58</v>
      </c>
      <c r="H43" s="111"/>
      <c r="I43" s="111"/>
      <c r="J43" s="111" t="s">
        <v>59</v>
      </c>
      <c r="K43" s="111"/>
      <c r="L43" s="111"/>
    </row>
    <row r="44" spans="1:12" ht="18" customHeight="1">
      <c r="A44" s="1"/>
      <c r="B44" s="109"/>
      <c r="C44" s="111" t="s">
        <v>60</v>
      </c>
      <c r="D44" s="111"/>
      <c r="E44" s="111"/>
      <c r="F44" s="111"/>
      <c r="G44" s="111" t="s">
        <v>60</v>
      </c>
      <c r="H44" s="111"/>
      <c r="I44" s="111"/>
      <c r="J44" s="111" t="s">
        <v>60</v>
      </c>
      <c r="K44" s="111"/>
      <c r="L44" s="111"/>
    </row>
    <row r="45" spans="1:12" ht="22.9" customHeight="1">
      <c r="A45" s="1"/>
      <c r="B45" s="1"/>
      <c r="C45" s="1"/>
      <c r="D45" s="1"/>
      <c r="E45" s="1" t="s">
        <v>61</v>
      </c>
      <c r="F45" s="1"/>
      <c r="G45" s="1"/>
      <c r="H45" s="1"/>
      <c r="I45" s="109" t="s">
        <v>62</v>
      </c>
      <c r="J45" s="109"/>
      <c r="K45" s="109"/>
      <c r="L45" s="110"/>
    </row>
    <row r="46" spans="1:12" ht="19.899999999999999" customHeight="1">
      <c r="A46" s="1"/>
      <c r="B46" s="1"/>
      <c r="C46" s="1"/>
      <c r="D46" s="1"/>
      <c r="E46" s="112" t="s">
        <v>63</v>
      </c>
      <c r="F46" s="112"/>
      <c r="G46" s="112"/>
      <c r="H46" s="112"/>
      <c r="I46" s="111" t="s">
        <v>64</v>
      </c>
      <c r="J46" s="111"/>
      <c r="K46" s="111"/>
      <c r="L46" s="110"/>
    </row>
    <row r="47" spans="1:12" ht="18" customHeight="1">
      <c r="A47" s="1"/>
      <c r="B47" s="1"/>
      <c r="C47" s="1"/>
      <c r="D47" s="1"/>
      <c r="E47" s="113" t="s">
        <v>65</v>
      </c>
      <c r="F47" s="113"/>
      <c r="G47" s="113"/>
      <c r="H47" s="113"/>
      <c r="I47" s="114" t="s">
        <v>66</v>
      </c>
      <c r="J47" s="114"/>
      <c r="K47" s="114"/>
      <c r="L47" s="110"/>
    </row>
    <row r="48" spans="1:12" ht="19.149999999999999" customHeight="1">
      <c r="A48" s="1"/>
      <c r="B48" s="115" t="s">
        <v>67</v>
      </c>
      <c r="C48" s="109"/>
      <c r="D48" s="109"/>
      <c r="E48" s="109"/>
      <c r="F48" s="109"/>
      <c r="G48" s="109"/>
      <c r="H48" s="109"/>
      <c r="I48" s="109"/>
      <c r="J48" s="109"/>
      <c r="K48" s="109"/>
      <c r="L48" s="1"/>
    </row>
  </sheetData>
  <mergeCells count="24">
    <mergeCell ref="E46:H46"/>
    <mergeCell ref="I46:K46"/>
    <mergeCell ref="E47:H47"/>
    <mergeCell ref="I47:K47"/>
    <mergeCell ref="C43:F43"/>
    <mergeCell ref="G43:I43"/>
    <mergeCell ref="J43:L43"/>
    <mergeCell ref="C44:F44"/>
    <mergeCell ref="G44:I44"/>
    <mergeCell ref="J44:L44"/>
    <mergeCell ref="C10:G10"/>
    <mergeCell ref="B21:G21"/>
    <mergeCell ref="I38:K38"/>
    <mergeCell ref="I39:K39"/>
    <mergeCell ref="C42:F42"/>
    <mergeCell ref="G42:I42"/>
    <mergeCell ref="J42:L42"/>
    <mergeCell ref="B1:L1"/>
    <mergeCell ref="B2:L2"/>
    <mergeCell ref="B3:L3"/>
    <mergeCell ref="B4:G5"/>
    <mergeCell ref="H4:H5"/>
    <mergeCell ref="K4:K5"/>
    <mergeCell ref="L4:L5"/>
  </mergeCells>
  <pageMargins left="0.19166666666666668" right="5.8333333333333334E-2" top="0.21666666666666667" bottom="1.6666666666666666E-2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060369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 SAIYOT</dc:creator>
  <cp:lastModifiedBy>SANCHAI SAIYOT</cp:lastModifiedBy>
  <dcterms:created xsi:type="dcterms:W3CDTF">2026-03-21T06:09:58Z</dcterms:created>
  <dcterms:modified xsi:type="dcterms:W3CDTF">2026-03-21T06:12:26Z</dcterms:modified>
</cp:coreProperties>
</file>